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hack-club\chord-board\"/>
    </mc:Choice>
  </mc:AlternateContent>
  <xr:revisionPtr revIDLastSave="0" documentId="13_ncr:1_{BDAD6CE9-3372-4AD1-85EF-87CB121D25B5}" xr6:coauthVersionLast="47" xr6:coauthVersionMax="47" xr10:uidLastSave="{00000000-0000-0000-0000-000000000000}"/>
  <bookViews>
    <workbookView xWindow="-120" yWindow="-16320" windowWidth="29040" windowHeight="15720" xr2:uid="{20DA92CE-7898-4CA1-90AB-3ECA5FA23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6" i="1" l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<sst xmlns="http://schemas.openxmlformats.org/spreadsheetml/2006/main" count="73" uniqueCount="73">
  <si>
    <t>Part</t>
  </si>
  <si>
    <t>Quantity</t>
  </si>
  <si>
    <t>Unit Price</t>
  </si>
  <si>
    <t>Total Price</t>
  </si>
  <si>
    <t>SEEED XIAO ESP32-C3</t>
  </si>
  <si>
    <t>MCU</t>
  </si>
  <si>
    <t>CD74HC4067M96</t>
  </si>
  <si>
    <t>Analog Multiplexer</t>
  </si>
  <si>
    <t>RC0603FR-0710KL</t>
  </si>
  <si>
    <t>Description</t>
  </si>
  <si>
    <t>Keyboard matrix diodes and more</t>
  </si>
  <si>
    <t>1N5819W</t>
  </si>
  <si>
    <t>Schottky diodes</t>
  </si>
  <si>
    <t>1N4148W-TP</t>
  </si>
  <si>
    <t>Power</t>
  </si>
  <si>
    <t>CR0603-FX-5100ELF</t>
  </si>
  <si>
    <t>GPTS203211B</t>
  </si>
  <si>
    <t>Octave/ looping latching buttons</t>
  </si>
  <si>
    <t>DFR0847</t>
  </si>
  <si>
    <t>TFT Display for chord info</t>
  </si>
  <si>
    <t>PTL45-15O0-105A2</t>
  </si>
  <si>
    <t>Slide potentiometer to invert the chord</t>
  </si>
  <si>
    <t>Reverse Mount LED keyboard backlights</t>
  </si>
  <si>
    <t>PTV09A-4020U-B103</t>
  </si>
  <si>
    <t>Linear potentiometer to modify each base chord</t>
  </si>
  <si>
    <t>MX2A-51NB</t>
  </si>
  <si>
    <t>Cherry MX switch to activate the chords</t>
  </si>
  <si>
    <t>S201031MS02Q</t>
  </si>
  <si>
    <t>SMS-1804MS-HT</t>
  </si>
  <si>
    <t>Speaker</t>
  </si>
  <si>
    <t>MI0603L301R-10</t>
  </si>
  <si>
    <t>Ferrite Beads</t>
  </si>
  <si>
    <t>PAM8403DR-H</t>
  </si>
  <si>
    <t>Class D Amp</t>
  </si>
  <si>
    <t>PTV112-4420A-A103</t>
  </si>
  <si>
    <t>Log potentiometer for volume</t>
  </si>
  <si>
    <t>CL10B104KB8NNNC</t>
  </si>
  <si>
    <t xml:space="preserve">0.1 µF Capacitor 0603 </t>
  </si>
  <si>
    <t>10K Ohm Resistor 0603</t>
  </si>
  <si>
    <t>510 Ohm Resistor 0603</t>
  </si>
  <si>
    <t>C0603C221K1RACTU</t>
  </si>
  <si>
    <t>220 pF Capacitor 0603</t>
  </si>
  <si>
    <t>CL10B474KO8NNNC</t>
  </si>
  <si>
    <t>CL10B105KO8NNNC</t>
  </si>
  <si>
    <t>0.47 µF Capacitor 0603</t>
  </si>
  <si>
    <t>1 µF Capacitor 0603</t>
  </si>
  <si>
    <t>GRM21BZ71A226ME15L</t>
  </si>
  <si>
    <t>22 µF Capacitor 0805</t>
  </si>
  <si>
    <t>CL21A476MRYNNNE</t>
  </si>
  <si>
    <t>47 µF Capacitor 0805</t>
  </si>
  <si>
    <t>GRM21BR60G107ME11L</t>
  </si>
  <si>
    <t>100 µF Capacitor 0805</t>
  </si>
  <si>
    <t>1043P</t>
  </si>
  <si>
    <t>18650 Battery Holder</t>
  </si>
  <si>
    <t>74HC595D</t>
  </si>
  <si>
    <t>Shift Register</t>
  </si>
  <si>
    <t>I2S DAC PCM5102</t>
  </si>
  <si>
    <t>18650 Battery</t>
  </si>
  <si>
    <t>PCIFR18650-1500</t>
  </si>
  <si>
    <t>Secure case</t>
  </si>
  <si>
    <t>M3 12mm Screws x 50</t>
  </si>
  <si>
    <t>M2 3mm Screws x 50</t>
  </si>
  <si>
    <t>Secure battery cover</t>
  </si>
  <si>
    <t>M2 3mm Heat Inserts x 100</t>
  </si>
  <si>
    <t>Hold case's screws</t>
  </si>
  <si>
    <t>M3(OD4.5) 12mm Heat Inserts x 100</t>
  </si>
  <si>
    <t>Hold battery cover screws</t>
  </si>
  <si>
    <t>Hex Key 2mm</t>
  </si>
  <si>
    <t>To screw in battery cover screws</t>
  </si>
  <si>
    <t>Hex Key 3mm</t>
  </si>
  <si>
    <t>To screw in case screws</t>
  </si>
  <si>
    <t>Black PLA Filament</t>
  </si>
  <si>
    <t>250g filament for case (299.20467012cm^3 needed)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</si>
</sst>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bourns-inc/CR0603-FX-5100ELF/3784063" TargetMode="External"/><Relationship Id="rId18" Type="http://schemas.openxmlformats.org/officeDocument/2006/relationships/hyperlink" Target="https://www.digikey.com/en/products/detail/samsung-electro-mechanics/CL10B104KB8NNNC/3886658" TargetMode="External"/><Relationship Id="rId26" Type="http://schemas.openxmlformats.org/officeDocument/2006/relationships/hyperlink" Target="https://www.digikey.com/en/products/detail/toshiba-semiconductor-and-storage/74HC595D/5879984" TargetMode="External"/><Relationship Id="rId3" Type="http://schemas.openxmlformats.org/officeDocument/2006/relationships/hyperlink" Target="https://www.digikey.com/en/products/detail/bourns-inc/PTL45-15O0-105A2/3781312" TargetMode="External"/><Relationship Id="rId21" Type="http://schemas.openxmlformats.org/officeDocument/2006/relationships/hyperlink" Target="https://www.digikey.com/en/products/detail/samsung-electro-mechanics/CL10B105KO8NNNC/3886677" TargetMode="External"/><Relationship Id="rId34" Type="http://schemas.openxmlformats.org/officeDocument/2006/relationships/hyperlink" Target="https://www.aliexpress.us/item/2255800276960438.html?spm=a2g0o.productlist.main.1.29b6HGVqHGVqk9&amp;algo_pvid=f62fd8ef-89c5-4cec-9183-177d8f962862&amp;algo_exp_id=f62fd8ef-89c5-4cec-9183-177d8f962862-0&amp;pdp_ext_f=%7B%22order%22%3A%22180%22%2C%22eval%22%3A%221%22%2C%22fromPage%22%3A%22search%22%7D&amp;pdp_npi=6%40dis%21USD%211.16%210.99%21%21%211.16%210.99%21%402101d97817816783189382683e3d6f%2112000016614368200%21sea%21US%210%21ABX%211%210%21n_tag%3A-29910%3Bd%3A1810974d%3Bm03_new_user%3A-29895%3BpisId%3A5000000208023469&amp;curPageLogUid=hPayhJG0pxXX&amp;utparam-url=scene%3Asearch%7Cquery_from%3A%7Cx_object_id%3A4000463275190%7C_p_origin_prod%3A" TargetMode="External"/><Relationship Id="rId7" Type="http://schemas.openxmlformats.org/officeDocument/2006/relationships/hyperlink" Target="https://www.digikey.com/en/products/detail/mcc-micro-commercial-components/1N4148W-TP/717196" TargetMode="External"/><Relationship Id="rId12" Type="http://schemas.openxmlformats.org/officeDocument/2006/relationships/hyperlink" Target="https://www.digikey.com/en/products/detail/c-k/S201031MS02Q/2055169" TargetMode="External"/><Relationship Id="rId17" Type="http://schemas.openxmlformats.org/officeDocument/2006/relationships/hyperlink" Target="https://www.digikey.com/en/products/detail/bourns-inc/PTV112-4420A-A103/3780862" TargetMode="External"/><Relationship Id="rId25" Type="http://schemas.openxmlformats.org/officeDocument/2006/relationships/hyperlink" Target="https://www.digikey.com/en/products/detail/keystone-electronics/1043P/4499388" TargetMode="External"/><Relationship Id="rId33" Type="http://schemas.openxmlformats.org/officeDocument/2006/relationships/hyperlink" Target="https://www.aliexpress.us/item/2255800276960438.html?spm=a2g0o.productlist.main.1.29b6HGVqHGVqk9&amp;algo_pvid=f62fd8ef-89c5-4cec-9183-177d8f962862&amp;algo_exp_id=f62fd8ef-89c5-4cec-9183-177d8f962862-0&amp;pdp_ext_f=%7B%22order%22%3A%22180%22%2C%22eval%22%3A%221%22%2C%22fromPage%22%3A%22search%22%7D&amp;pdp_npi=6%40dis%21USD%211.16%210.99%21%21%211.16%210.99%21%402101d97817816783189382683e3d6f%2112000016614368200%21sea%21US%210%21ABX%211%210%21n_tag%3A-29910%3Bd%3A1810974d%3Bm03_new_user%3A-29895%3BpisId%3A5000000208023469&amp;curPageLogUid=hPayhJG0pxXX&amp;utparam-url=scene%3Asearch%7Cquery_from%3A%7Cx_object_id%3A4000463275190%7C_p_origin_prod%3A" TargetMode="External"/><Relationship Id="rId2" Type="http://schemas.openxmlformats.org/officeDocument/2006/relationships/hyperlink" Target="https://www.digikey.com/en/products/detail/bourns-inc/PTV09A-4020U-B103/3781130" TargetMode="External"/><Relationship Id="rId16" Type="http://schemas.openxmlformats.org/officeDocument/2006/relationships/hyperlink" Target="https://www.digikey.com/en/products/detail/diodes-incorporated/PAM8403DR-H/4033372" TargetMode="External"/><Relationship Id="rId20" Type="http://schemas.openxmlformats.org/officeDocument/2006/relationships/hyperlink" Target="https://www.digikey.com/en/products/detail/samsung-electro-mechanics/CL10B474KO8NNNC/3886720" TargetMode="External"/><Relationship Id="rId29" Type="http://schemas.openxmlformats.org/officeDocument/2006/relationships/hyperlink" Target="https://www.aliexpress.us/item/2255799834652852.html?spm=a2g0o.productlist.main.37.6b874ed6BcWYjZ&amp;algo_pvid=cd074ac6-6a57-4cf5-981a-391588099b78&amp;algo_exp_id=cd074ac6-6a57-4cf5-981a-391588099b78-26&amp;pdp_ext_f=%7B%22order%22%3A%222600%22%2C%22eval%22%3A%221%22%2C%22fromPage%22%3A%22search%22%7D&amp;pdp_npi=6%40dis%21USD%211.88%211.14%21%21%211.88%211.14%21%402101e2b617816772954112557ea7ef%2110000000048589927%21sea%21US%210%21ABX%211%210%21n_tag%3A-29910%3Bd%3A1810974d%3Bm03_new_user%3A-29895%3BpisId%3A5000000208023469&amp;curPageLogUid=YDdz2iuLNXm6&amp;utparam-url=scene%3Asearch%7Cquery_from%3A%7Cx_object_id%3A4000020967604%7C_p_origin_prod%3A" TargetMode="External"/><Relationship Id="rId1" Type="http://schemas.openxmlformats.org/officeDocument/2006/relationships/hyperlink" Target="https://www.digikey.com/en/products/detail/cherry-americas-llc/MX2A-51NB/21738393" TargetMode="External"/><Relationship Id="rId6" Type="http://schemas.openxmlformats.org/officeDocument/2006/relationships/hyperlink" Target="https://www.digikey.com/en/products/detail/adafruit-industries-llc/4960/14302512" TargetMode="External"/><Relationship Id="rId11" Type="http://schemas.openxmlformats.org/officeDocument/2006/relationships/hyperlink" Target="https://www.digikey.com/en/products/detail/evvo/1N5819W/21407174" TargetMode="External"/><Relationship Id="rId24" Type="http://schemas.openxmlformats.org/officeDocument/2006/relationships/hyperlink" Target="https://www.digikey.com/en/products/detail/murata-electronics/GRM21BR60G107ME11L/6155750" TargetMode="External"/><Relationship Id="rId32" Type="http://schemas.openxmlformats.org/officeDocument/2006/relationships/hyperlink" Target="https://www.aliexpress.us/item/3256808711257006.html?spm=a2g0o.productlist.main.2.588712795JXjaS&amp;algo_pvid=3b7e86bf-95d4-4a1f-8bfc-446c23c8ca52&amp;algo_exp_id=3b7e86bf-95d4-4a1f-8bfc-446c23c8ca52-1&amp;pdp_ext_f=%7B%22order%22%3A%2214336%22%2C%22eval%22%3A%221%22%2C%22fromPage%22%3A%22search%22%7D&amp;pdp_npi=6%40dis%21USD%212.04%210.99%21%21%2113.73%216.65%21%4021032f3717816763074298747ec926%2112000047114716314%21sea%21US%210%21ABX%211%210%21n_tag%3A-29910%3Bd%3A1810974d%3Bm03_new_user%3A-29895%3BpisId%3A5000000207262921&amp;curPageLogUid=6LOCmPzaGrDu&amp;utparam-url=scene%3Asearch%7Cquery_from%3A%7Cx_object_id%3A1005008897571758%7C_p_origin_prod%3A" TargetMode="External"/><Relationship Id="rId5" Type="http://schemas.openxmlformats.org/officeDocument/2006/relationships/hyperlink" Target="https://www.digikey.com/en/products/detail/cw-industries/GPTS203211B/3190590" TargetMode="External"/><Relationship Id="rId15" Type="http://schemas.openxmlformats.org/officeDocument/2006/relationships/hyperlink" Target="https://www.digikey.com/en/products/detail/laird-signal-integrity-products/MI0603L301R-10/806613" TargetMode="External"/><Relationship Id="rId23" Type="http://schemas.openxmlformats.org/officeDocument/2006/relationships/hyperlink" Target="https://www.digikey.com/en/products/detail/samsung-electro-mechanics/CL21A476MRYNNNE/3888577" TargetMode="External"/><Relationship Id="rId28" Type="http://schemas.openxmlformats.org/officeDocument/2006/relationships/hyperlink" Target="https://www.digikey.com/en/products/detail/zeus-battery-products/PCIFR18650-1500/9828824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www.digikey.com/en/products/detail/yageo/RC0603FR-0710KL/726880" TargetMode="External"/><Relationship Id="rId19" Type="http://schemas.openxmlformats.org/officeDocument/2006/relationships/hyperlink" Target="https://www.digikey.com/en/products/detail/kemet/C0603C221K1RACTU/2200223" TargetMode="External"/><Relationship Id="rId31" Type="http://schemas.openxmlformats.org/officeDocument/2006/relationships/hyperlink" Target="https://www.aliexpress.us/item/3256808711257006.html?spm=a2g0o.productlist.main.2.588712795JXjaS&amp;algo_pvid=3b7e86bf-95d4-4a1f-8bfc-446c23c8ca52&amp;algo_exp_id=3b7e86bf-95d4-4a1f-8bfc-446c23c8ca52-1&amp;pdp_ext_f=%7B%22order%22%3A%2214336%22%2C%22eval%22%3A%221%22%2C%22fromPage%22%3A%22search%22%7D&amp;pdp_npi=6%40dis%21USD%212.04%210.99%21%21%2113.73%216.65%21%4021032f3717816763074298747ec926%2112000047114716314%21sea%21US%210%21ABX%211%210%21n_tag%3A-29910%3Bd%3A1810974d%3Bm03_new_user%3A-29895%3BpisId%3A5000000207262921&amp;curPageLogUid=6LOCmPzaGrDu&amp;utparam-url=scene%3Asearch%7Cquery_from%3A%7Cx_object_id%3A1005008897571758%7C_p_origin_prod%3A" TargetMode="External"/><Relationship Id="rId4" Type="http://schemas.openxmlformats.org/officeDocument/2006/relationships/hyperlink" Target="https://www.digikey.com/en/products/detail/dfrobot/DFR0847/15848097" TargetMode="External"/><Relationship Id="rId9" Type="http://schemas.openxmlformats.org/officeDocument/2006/relationships/hyperlink" Target="https://www.digikey.com/en/products/detail/texas-instruments/CD74HC4067M96/1507236" TargetMode="External"/><Relationship Id="rId14" Type="http://schemas.openxmlformats.org/officeDocument/2006/relationships/hyperlink" Target="https://www.digikey.com/en/products/detail/pui-audio-inc/SMS-1804MS-HT/22116413" TargetMode="External"/><Relationship Id="rId22" Type="http://schemas.openxmlformats.org/officeDocument/2006/relationships/hyperlink" Target="https://www.digikey.com/en/products/detail/murata-electronics/GRM21BZ71A226ME15L/13904953" TargetMode="External"/><Relationship Id="rId27" Type="http://schemas.openxmlformats.org/officeDocument/2006/relationships/hyperlink" Target="https://www.digikey.com/en/products/detail/adafruit-industries-llc/6250/26249971" TargetMode="External"/><Relationship Id="rId30" Type="http://schemas.openxmlformats.org/officeDocument/2006/relationships/hyperlink" Target="https://www.aliexpress.us/item/2255799834652852.html?spm=a2g0o.productlist.main.37.6b874ed6BcWYjZ&amp;algo_pvid=cd074ac6-6a57-4cf5-981a-391588099b78&amp;algo_exp_id=cd074ac6-6a57-4cf5-981a-391588099b78-26&amp;pdp_ext_f=%7B%22order%22%3A%222600%22%2C%22eval%22%3A%221%22%2C%22fromPage%22%3A%22search%22%7D&amp;pdp_npi=6%40dis%21USD%211.88%211.14%21%21%211.88%211.14%21%402101e2b617816772954112557ea7ef%2110000000048589927%21sea%21US%210%21ABX%211%210%21n_tag%3A-29910%3Bd%3A1810974d%3Bm03_new_user%3A-29895%3BpisId%3A5000000208023469&amp;curPageLogUid=YDdz2iuLNXm6&amp;utparam-url=scene%3Asearch%7Cquery_from%3A%7Cx_object_id%3A4000020967604%7C_p_origin_prod%3A" TargetMode="External"/><Relationship Id="rId35" Type="http://schemas.openxmlformats.org/officeDocument/2006/relationships/hyperlink" Target="https://www.aliexpress.us/item/3256806976696840.html?spm=a2g0o.productlist.main.2.1c33cd0fZpruBy&amp;algo_pvid=19866c55-1e6a-443f-a7a9-0dd49705db3d&amp;algo_exp_id=19866c55-1e6a-443f-a7a9-0dd49705db3d-34&amp;pdp_ext_f=%7B%22order%22%3A%22359%22%2C%22eval%22%3A%221%22%2C%22fromPage%22%3A%22search%22%7D&amp;pdp_npi=6%40dis%21USD%216.34%210.99%21%21%216.34%210.99%21%402101e83017819059640583970e0300%2112000039662452078%21sea%21US%210%21ABX%211%210%21n_tag%3A-29910%3Bd%3Adcd69f6e%3Bm03_new_user%3A-29895%3BpisId%3A5000000207262921&amp;curPageLogUid=lXV8t9sE9sV8&amp;utparam-url=scene%3Asearch%7Cquery_from%3A%7Cx_object_id%3A1005007163011592%7C_p_origin_prod%3A" TargetMode="External"/><Relationship Id="rId8" Type="http://schemas.openxmlformats.org/officeDocument/2006/relationships/hyperlink" Target="https://www.digikey.com/en/products/detail/seeed-technology-co-ltd/113991054/166528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8CAA-D477-4129-999C-610E4ADC381C}">
  <dimension ref="A1:E36"/>
  <sheetViews>
    <sheetView tabSelected="1" workbookViewId="0">
      <selection activeCell="H12" sqref="H12"/>
    </sheetView>
  </sheetViews>
  <sheetFormatPr defaultRowHeight="14.5" x14ac:dyDescent="0.35"/>
  <cols>
    <col min="1" max="1" width="22.81640625" customWidth="1"/>
    <col min="2" max="2" width="37.54296875" customWidth="1"/>
    <col min="3" max="4" width="21.36328125" customWidth="1"/>
    <col min="5" max="5" width="17.453125" customWidth="1"/>
  </cols>
  <sheetData>
    <row r="1" spans="1:5" x14ac:dyDescent="0.35">
      <c r="A1" t="s">
        <v>0</v>
      </c>
      <c r="B1" t="s">
        <v>9</v>
      </c>
      <c r="C1" t="s">
        <v>1</v>
      </c>
      <c r="D1" t="s">
        <v>2</v>
      </c>
      <c r="E1" t="s">
        <v>3</v>
      </c>
    </row>
    <row r="2" spans="1:5" x14ac:dyDescent="0.35">
      <c r="A2" s="1" t="s">
        <v>25</v>
      </c>
      <c r="B2" t="s">
        <v>26</v>
      </c>
      <c r="C2">
        <v>9</v>
      </c>
      <c r="D2">
        <v>1.75</v>
      </c>
      <c r="E2">
        <f>D2*C2</f>
        <v>15.75</v>
      </c>
    </row>
    <row r="3" spans="1:5" x14ac:dyDescent="0.35">
      <c r="A3" s="1" t="s">
        <v>23</v>
      </c>
      <c r="B3" t="s">
        <v>24</v>
      </c>
      <c r="C3">
        <v>7</v>
      </c>
      <c r="D3">
        <v>0.89</v>
      </c>
      <c r="E3">
        <f t="shared" ref="E3:E36" si="0">D3*C3</f>
        <v>6.23</v>
      </c>
    </row>
    <row r="4" spans="1:5" x14ac:dyDescent="0.35">
      <c r="A4" s="1" t="s">
        <v>20</v>
      </c>
      <c r="B4" t="s">
        <v>21</v>
      </c>
      <c r="C4">
        <v>1</v>
      </c>
      <c r="D4">
        <v>2.57</v>
      </c>
      <c r="E4">
        <f t="shared" si="0"/>
        <v>2.57</v>
      </c>
    </row>
    <row r="5" spans="1:5" x14ac:dyDescent="0.35">
      <c r="A5" s="1" t="s">
        <v>18</v>
      </c>
      <c r="B5" t="s">
        <v>19</v>
      </c>
      <c r="C5">
        <v>1</v>
      </c>
      <c r="D5">
        <v>8.9</v>
      </c>
      <c r="E5">
        <f t="shared" si="0"/>
        <v>8.9</v>
      </c>
    </row>
    <row r="6" spans="1:5" x14ac:dyDescent="0.35">
      <c r="A6" s="1" t="s">
        <v>16</v>
      </c>
      <c r="B6" t="s">
        <v>17</v>
      </c>
      <c r="C6">
        <v>2</v>
      </c>
      <c r="D6">
        <v>1.94</v>
      </c>
      <c r="E6">
        <f t="shared" si="0"/>
        <v>3.88</v>
      </c>
    </row>
    <row r="7" spans="1:5" x14ac:dyDescent="0.35">
      <c r="A7" s="1">
        <v>4960</v>
      </c>
      <c r="B7" t="s">
        <v>22</v>
      </c>
      <c r="C7">
        <v>9</v>
      </c>
      <c r="D7">
        <v>2.95</v>
      </c>
      <c r="E7">
        <f t="shared" si="0"/>
        <v>26.55</v>
      </c>
    </row>
    <row r="8" spans="1:5" x14ac:dyDescent="0.35">
      <c r="A8" s="1" t="s">
        <v>13</v>
      </c>
      <c r="B8" t="s">
        <v>10</v>
      </c>
      <c r="C8">
        <v>10</v>
      </c>
      <c r="D8">
        <v>6.3E-2</v>
      </c>
      <c r="E8">
        <f t="shared" si="0"/>
        <v>0.63</v>
      </c>
    </row>
    <row r="9" spans="1:5" x14ac:dyDescent="0.35">
      <c r="A9" s="1" t="s">
        <v>4</v>
      </c>
      <c r="B9" t="s">
        <v>5</v>
      </c>
      <c r="C9">
        <v>1</v>
      </c>
      <c r="D9">
        <v>4.99</v>
      </c>
      <c r="E9">
        <f t="shared" si="0"/>
        <v>4.99</v>
      </c>
    </row>
    <row r="10" spans="1:5" x14ac:dyDescent="0.35">
      <c r="A10" s="1" t="s">
        <v>6</v>
      </c>
      <c r="B10" t="s">
        <v>7</v>
      </c>
      <c r="C10">
        <v>1</v>
      </c>
      <c r="D10">
        <v>0.89</v>
      </c>
      <c r="E10">
        <f t="shared" si="0"/>
        <v>0.89</v>
      </c>
    </row>
    <row r="11" spans="1:5" x14ac:dyDescent="0.35">
      <c r="A11" s="1" t="s">
        <v>8</v>
      </c>
      <c r="B11" t="s">
        <v>38</v>
      </c>
      <c r="C11">
        <v>10</v>
      </c>
      <c r="D11">
        <v>2.5000000000000001E-2</v>
      </c>
      <c r="E11">
        <f t="shared" si="0"/>
        <v>0.25</v>
      </c>
    </row>
    <row r="12" spans="1:5" x14ac:dyDescent="0.35">
      <c r="A12" s="1" t="s">
        <v>11</v>
      </c>
      <c r="B12" t="s">
        <v>12</v>
      </c>
      <c r="C12">
        <v>2</v>
      </c>
      <c r="D12">
        <v>0.23</v>
      </c>
      <c r="E12">
        <f t="shared" si="0"/>
        <v>0.46</v>
      </c>
    </row>
    <row r="13" spans="1:5" x14ac:dyDescent="0.35">
      <c r="A13" s="1" t="s">
        <v>27</v>
      </c>
      <c r="B13" t="s">
        <v>14</v>
      </c>
      <c r="C13">
        <v>1</v>
      </c>
      <c r="D13">
        <v>5.86</v>
      </c>
      <c r="E13">
        <f t="shared" si="0"/>
        <v>5.86</v>
      </c>
    </row>
    <row r="14" spans="1:5" x14ac:dyDescent="0.35">
      <c r="A14" s="1" t="s">
        <v>15</v>
      </c>
      <c r="B14" t="s">
        <v>39</v>
      </c>
      <c r="C14">
        <v>2</v>
      </c>
      <c r="D14">
        <v>0.1</v>
      </c>
      <c r="E14">
        <f t="shared" si="0"/>
        <v>0.2</v>
      </c>
    </row>
    <row r="15" spans="1:5" x14ac:dyDescent="0.35">
      <c r="A15" s="1" t="s">
        <v>28</v>
      </c>
      <c r="B15" t="s">
        <v>29</v>
      </c>
      <c r="C15">
        <v>2</v>
      </c>
      <c r="D15">
        <v>4.8600000000000003</v>
      </c>
      <c r="E15">
        <f t="shared" si="0"/>
        <v>9.7200000000000006</v>
      </c>
    </row>
    <row r="16" spans="1:5" x14ac:dyDescent="0.35">
      <c r="A16" s="1" t="s">
        <v>30</v>
      </c>
      <c r="B16" t="s">
        <v>31</v>
      </c>
      <c r="C16">
        <v>4</v>
      </c>
      <c r="D16">
        <v>0.1</v>
      </c>
      <c r="E16">
        <f t="shared" si="0"/>
        <v>0.4</v>
      </c>
    </row>
    <row r="17" spans="1:5" x14ac:dyDescent="0.35">
      <c r="A17" s="1" t="s">
        <v>32</v>
      </c>
      <c r="B17" t="s">
        <v>33</v>
      </c>
      <c r="C17">
        <v>1</v>
      </c>
      <c r="D17">
        <v>0.8</v>
      </c>
      <c r="E17">
        <f t="shared" si="0"/>
        <v>0.8</v>
      </c>
    </row>
    <row r="18" spans="1:5" x14ac:dyDescent="0.35">
      <c r="A18" s="1" t="s">
        <v>34</v>
      </c>
      <c r="B18" t="s">
        <v>35</v>
      </c>
      <c r="C18">
        <v>1</v>
      </c>
      <c r="D18">
        <v>1.65</v>
      </c>
      <c r="E18">
        <f t="shared" si="0"/>
        <v>1.65</v>
      </c>
    </row>
    <row r="19" spans="1:5" x14ac:dyDescent="0.35">
      <c r="A19" s="1" t="s">
        <v>36</v>
      </c>
      <c r="B19" t="s">
        <v>37</v>
      </c>
      <c r="C19">
        <v>10</v>
      </c>
      <c r="D19">
        <v>2.7E-2</v>
      </c>
      <c r="E19">
        <f t="shared" si="0"/>
        <v>0.27</v>
      </c>
    </row>
    <row r="20" spans="1:5" x14ac:dyDescent="0.35">
      <c r="A20" s="1" t="s">
        <v>40</v>
      </c>
      <c r="B20" t="s">
        <v>41</v>
      </c>
      <c r="C20">
        <v>4</v>
      </c>
      <c r="D20">
        <v>0.1</v>
      </c>
      <c r="E20">
        <f t="shared" si="0"/>
        <v>0.4</v>
      </c>
    </row>
    <row r="21" spans="1:5" x14ac:dyDescent="0.35">
      <c r="A21" s="1" t="s">
        <v>42</v>
      </c>
      <c r="B21" t="s">
        <v>44</v>
      </c>
      <c r="C21">
        <v>2</v>
      </c>
      <c r="D21">
        <v>0.1</v>
      </c>
      <c r="E21">
        <f t="shared" si="0"/>
        <v>0.2</v>
      </c>
    </row>
    <row r="22" spans="1:5" x14ac:dyDescent="0.35">
      <c r="A22" s="1" t="s">
        <v>43</v>
      </c>
      <c r="B22" t="s">
        <v>45</v>
      </c>
      <c r="C22">
        <v>10</v>
      </c>
      <c r="D22">
        <v>3.6999999999999998E-2</v>
      </c>
      <c r="E22">
        <f t="shared" si="0"/>
        <v>0.37</v>
      </c>
    </row>
    <row r="23" spans="1:5" x14ac:dyDescent="0.35">
      <c r="A23" s="1" t="s">
        <v>46</v>
      </c>
      <c r="B23" t="s">
        <v>47</v>
      </c>
      <c r="C23">
        <v>1</v>
      </c>
      <c r="D23">
        <v>0.33</v>
      </c>
      <c r="E23">
        <f t="shared" si="0"/>
        <v>0.33</v>
      </c>
    </row>
    <row r="24" spans="1:5" x14ac:dyDescent="0.35">
      <c r="A24" s="1" t="s">
        <v>48</v>
      </c>
      <c r="B24" t="s">
        <v>49</v>
      </c>
      <c r="C24">
        <v>1</v>
      </c>
      <c r="D24">
        <v>0.26</v>
      </c>
      <c r="E24">
        <f t="shared" si="0"/>
        <v>0.26</v>
      </c>
    </row>
    <row r="25" spans="1:5" x14ac:dyDescent="0.35">
      <c r="A25" s="1" t="s">
        <v>50</v>
      </c>
      <c r="B25" t="s">
        <v>51</v>
      </c>
      <c r="C25">
        <v>4</v>
      </c>
      <c r="D25">
        <v>0.55000000000000004</v>
      </c>
      <c r="E25">
        <f t="shared" si="0"/>
        <v>2.2000000000000002</v>
      </c>
    </row>
    <row r="26" spans="1:5" x14ac:dyDescent="0.35">
      <c r="A26" s="1" t="s">
        <v>52</v>
      </c>
      <c r="B26" t="s">
        <v>53</v>
      </c>
      <c r="C26">
        <v>1</v>
      </c>
      <c r="D26">
        <v>3.02</v>
      </c>
      <c r="E26">
        <f t="shared" si="0"/>
        <v>3.02</v>
      </c>
    </row>
    <row r="27" spans="1:5" x14ac:dyDescent="0.35">
      <c r="A27" s="1" t="s">
        <v>54</v>
      </c>
      <c r="B27" t="s">
        <v>55</v>
      </c>
      <c r="C27">
        <v>1</v>
      </c>
      <c r="D27">
        <v>0.27</v>
      </c>
      <c r="E27">
        <f t="shared" si="0"/>
        <v>0.27</v>
      </c>
    </row>
    <row r="28" spans="1:5" x14ac:dyDescent="0.35">
      <c r="A28" s="1">
        <v>6250</v>
      </c>
      <c r="B28" t="s">
        <v>56</v>
      </c>
      <c r="C28">
        <v>1</v>
      </c>
      <c r="D28">
        <v>4.95</v>
      </c>
      <c r="E28">
        <f t="shared" si="0"/>
        <v>4.95</v>
      </c>
    </row>
    <row r="29" spans="1:5" x14ac:dyDescent="0.35">
      <c r="A29" s="1" t="s">
        <v>58</v>
      </c>
      <c r="B29" t="s">
        <v>57</v>
      </c>
      <c r="C29">
        <v>1</v>
      </c>
      <c r="D29">
        <v>6.81</v>
      </c>
      <c r="E29">
        <f t="shared" si="0"/>
        <v>6.81</v>
      </c>
    </row>
    <row r="30" spans="1:5" x14ac:dyDescent="0.35">
      <c r="A30" s="1" t="s">
        <v>60</v>
      </c>
      <c r="B30" t="s">
        <v>59</v>
      </c>
      <c r="C30">
        <v>1</v>
      </c>
      <c r="D30">
        <v>2.4900000000000002</v>
      </c>
      <c r="E30">
        <f t="shared" si="0"/>
        <v>2.4900000000000002</v>
      </c>
    </row>
    <row r="31" spans="1:5" x14ac:dyDescent="0.35">
      <c r="A31" s="1" t="s">
        <v>61</v>
      </c>
      <c r="B31" t="s">
        <v>62</v>
      </c>
      <c r="C31">
        <v>1</v>
      </c>
      <c r="D31">
        <v>2.0099999999999998</v>
      </c>
      <c r="E31">
        <f t="shared" si="0"/>
        <v>2.0099999999999998</v>
      </c>
    </row>
    <row r="32" spans="1:5" x14ac:dyDescent="0.35">
      <c r="A32" s="1" t="s">
        <v>63</v>
      </c>
      <c r="B32" t="s">
        <v>64</v>
      </c>
      <c r="C32">
        <v>1</v>
      </c>
      <c r="D32">
        <v>2.63</v>
      </c>
      <c r="E32">
        <f t="shared" si="0"/>
        <v>2.63</v>
      </c>
    </row>
    <row r="33" spans="1:5" x14ac:dyDescent="0.35">
      <c r="A33" s="1" t="s">
        <v>65</v>
      </c>
      <c r="B33" t="s">
        <v>66</v>
      </c>
      <c r="C33">
        <v>1</v>
      </c>
      <c r="D33">
        <v>2.13</v>
      </c>
      <c r="E33">
        <f t="shared" si="0"/>
        <v>2.13</v>
      </c>
    </row>
    <row r="34" spans="1:5" x14ac:dyDescent="0.35">
      <c r="A34" s="1" t="s">
        <v>67</v>
      </c>
      <c r="B34" t="s">
        <v>68</v>
      </c>
      <c r="C34">
        <v>1</v>
      </c>
      <c r="D34">
        <v>1.1599999999999999</v>
      </c>
      <c r="E34">
        <f t="shared" si="0"/>
        <v>1.1599999999999999</v>
      </c>
    </row>
    <row r="35" spans="1:5" x14ac:dyDescent="0.35">
      <c r="A35" s="1" t="s">
        <v>69</v>
      </c>
      <c r="B35" t="s">
        <v>70</v>
      </c>
      <c r="C35">
        <v>1</v>
      </c>
      <c r="D35">
        <v>1.23</v>
      </c>
      <c r="E35">
        <f t="shared" si="0"/>
        <v>1.23</v>
      </c>
    </row>
    <row r="36" spans="1:5" x14ac:dyDescent="0.35">
      <c r="A36" s="1" t="s">
        <v>71</v>
      </c>
      <c r="B36" t="s">
        <v>72</v>
      </c>
      <c r="C36">
        <v>1</v>
      </c>
      <c r="D36">
        <v>11.46</v>
      </c>
      <c r="E36">
        <f t="shared" si="0"/>
        <v>11.46</v>
      </c>
    </row>
  </sheetData>
  <hyperlinks>
    <hyperlink ref="A2" r:id="rId1" display="Cherry MX Key" xr:uid="{B961A2B6-A7B1-46CC-BC5A-705B55FDFE94}"/>
    <hyperlink ref="A3" r:id="rId2" display="Linear Potentiometers" xr:uid="{DF7F1705-5A2B-46CC-B6B8-D2C5413649BD}"/>
    <hyperlink ref="A4" r:id="rId3" display="Slide Potentiometers" xr:uid="{B541261C-9DCB-4133-BD3B-385A5A73AB1A}"/>
    <hyperlink ref="A5" r:id="rId4" display="TFT Display" xr:uid="{9F9BD066-AB7E-48B4-9C90-437066656DE1}"/>
    <hyperlink ref="A6" r:id="rId5" display="Latching Button" xr:uid="{A89B5F3A-B35F-4F60-A7A4-0E0C7DE1AADA}"/>
    <hyperlink ref="A7" r:id="rId6" display="Reverse Mount LEDs" xr:uid="{B76A657C-605B-4D7A-9E2E-AB87A93528BE}"/>
    <hyperlink ref="A8" r:id="rId7" display="1N4148W-TP Diodes" xr:uid="{FAB0910B-BF24-45E5-AC64-55BB19E943BC}"/>
    <hyperlink ref="A9" r:id="rId8" xr:uid="{0FF1DE24-F24B-4FED-89DF-151093D39B30}"/>
    <hyperlink ref="A10" r:id="rId9" xr:uid="{D5F0014C-FDA5-4EE6-9D92-E172F4F96554}"/>
    <hyperlink ref="A11" r:id="rId10" xr:uid="{5EB5024B-8C90-46F7-89F1-F336392CF349}"/>
    <hyperlink ref="A12" r:id="rId11" xr:uid="{289BB4B9-AF25-4498-ACDF-9C332CF3AD67}"/>
    <hyperlink ref="A13" r:id="rId12" display="On-Off Switch" xr:uid="{DCE61170-09C2-4FDB-A20A-7782F60F42B8}"/>
    <hyperlink ref="A14" r:id="rId13" xr:uid="{95C2D00E-D778-4739-97DE-19C5C9767F42}"/>
    <hyperlink ref="A15" r:id="rId14" xr:uid="{AF3DFEA7-8ED0-4713-BC64-E80CD63AE4BA}"/>
    <hyperlink ref="A16" r:id="rId15" xr:uid="{6C51CD0C-DCDA-4E94-9190-AC25905BDB05}"/>
    <hyperlink ref="A17" r:id="rId16" xr:uid="{A056EA46-1A97-4917-B449-EFE5E2BDCFAB}"/>
    <hyperlink ref="A18" r:id="rId17" display="https://www.digikey.com/en/products/detail/bourns-inc/PTV112-4420A-A103/3780862" xr:uid="{7ED28C11-C788-4F68-8E2D-F73ED8EF6A4F}"/>
    <hyperlink ref="A19" r:id="rId18" display="https://www.digikey.com/en/products/detail/samsung-electro-mechanics/CL10B104KB8NNNC/3886658" xr:uid="{96758F11-D369-40F2-818A-10032BF10666}"/>
    <hyperlink ref="A20" r:id="rId19" display="https://www.digikey.com/en/products/detail/kemet/C0603C221K1RACTU/2200223" xr:uid="{5B9D6DE1-8A52-4F43-81B4-9597D31BC9A1}"/>
    <hyperlink ref="A21" r:id="rId20" display="https://www.digikey.com/en/products/detail/samsung-electro-mechanics/CL10B474KO8NNNC/3886720" xr:uid="{E08182AD-C14F-4C6E-863D-B8795F7668BB}"/>
    <hyperlink ref="A22" r:id="rId21" display="https://www.digikey.com/en/products/detail/samsung-electro-mechanics/CL10B105KO8NNNC/3886677" xr:uid="{C282CDCF-A050-4F22-BAD2-62DCC189E03F}"/>
    <hyperlink ref="A23" r:id="rId22" display="https://www.digikey.com/en/products/detail/murata-electronics/GRM21BZ71A226ME15L/13904953" xr:uid="{BE24D35C-7F77-47EA-8156-8074FEEDACAD}"/>
    <hyperlink ref="A24" r:id="rId23" display="https://www.digikey.com/en/products/detail/samsung-electro-mechanics/CL21A476MRYNNNE/3888577" xr:uid="{A2B84EE5-F171-4209-9847-DEEB9DED5B20}"/>
    <hyperlink ref="A25" r:id="rId24" display="https://www.digikey.com/en/products/detail/murata-electronics/GRM21BR60G107ME11L/6155750" xr:uid="{4FF5D216-8D54-4B3E-98AF-D6027F425E57}"/>
    <hyperlink ref="A26" r:id="rId25" display="https://www.digikey.com/en/products/detail/keystone-electronics/1043P/4499388" xr:uid="{0EC9BDEE-C794-4AE8-8B9D-BBFB2B10E8A4}"/>
    <hyperlink ref="A27" r:id="rId26" display="https://www.digikey.com/en/products/detail/toshiba-semiconductor-and-storage/74HC595D/5879984" xr:uid="{C25E909E-76D9-4682-AE9C-1BE1775A7DAC}"/>
    <hyperlink ref="A28" r:id="rId27" display="https://www.digikey.com/en/products/detail/adafruit-industries-llc/6250/26249971" xr:uid="{0B66E8F1-7732-4DCE-8AF0-32C784A7E0FA}"/>
    <hyperlink ref="A29" r:id="rId28" display="https://www.digikey.com/en/products/detail/zeus-battery-products/PCIFR18650-1500/9828824" xr:uid="{FA3ECFC5-13A6-479C-BC0E-8B8F30D5332E}"/>
    <hyperlink ref="A30" r:id="rId29" display="M3 12mm Screws" xr:uid="{C97AFB88-3346-4088-B8BC-7D958A11CA30}"/>
    <hyperlink ref="A31" r:id="rId30" xr:uid="{C9A9612B-C838-4AEA-99CA-B1E1C18A9971}"/>
    <hyperlink ref="A32" r:id="rId31" xr:uid="{CDBB6071-B2A0-42AD-8331-5E0D42B9AB8D}"/>
    <hyperlink ref="A33" r:id="rId32" xr:uid="{A5ABAD83-00A1-4BFF-897B-9D29F0836104}"/>
    <hyperlink ref="A34" r:id="rId33" xr:uid="{21CB0502-FBCC-4EF8-9C98-D52D44AB4A12}"/>
    <hyperlink ref="A35" r:id="rId34" xr:uid="{32D44385-BD3D-4767-ADAE-78CED4AD1884}"/>
    <hyperlink ref="A36" r:id="rId35" display="Black PLA FIlament" xr:uid="{59F6BD33-3975-4231-8E9D-0FAE5ABF52B9}"/>
  </hyperlinks>
  <pageMargins left="0.7" right="0.7" top="0.75" bottom="0.75" header="0.3" footer="0.3"/>
  <pageSetup paperSize="9" orientation="portrait" horizontalDpi="0" verticalDpi="0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Kaitlyn Zee</dc:creator>
  <cp:lastModifiedBy>Kaitlyn Zee</cp:lastModifiedBy>
  <dcterms:created xsi:type="dcterms:W3CDTF">2026-06-19T18:34:03Z</dcterms:created>
  <dcterms:modified xsi:type="dcterms:W3CDTF">2026-06-19T21:56:21Z</dcterms:modified>
</cp:coreProperties>
</file>